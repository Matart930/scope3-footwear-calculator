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terials" sheetId="2" r:id="rId6"/>
    <sheet state="visible" name="transport" sheetId="3" r:id="rId7"/>
    <sheet state="visible" name="use" sheetId="4" r:id="rId8"/>
    <sheet state="visible" name="eol" sheetId="5" r:id="rId9"/>
    <sheet state="visible" name="final" sheetId="6" r:id="rId10"/>
  </sheets>
  <definedNames/>
  <calcPr/>
</workbook>
</file>

<file path=xl/sharedStrings.xml><?xml version="1.0" encoding="utf-8"?>
<sst xmlns="http://schemas.openxmlformats.org/spreadsheetml/2006/main" count="6" uniqueCount="6">
  <si>
    <t>Category</t>
  </si>
  <si>
    <t>kg CO2e</t>
  </si>
  <si>
    <t>Materials</t>
  </si>
  <si>
    <t>Transport</t>
  </si>
  <si>
    <t>Use</t>
  </si>
  <si>
    <t>End of 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</si>
</sst>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kg CO2e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Dashboard!$A$2:$A$5</c:f>
            </c:strRef>
          </c:cat>
          <c:val>
            <c:numRef>
              <c:f>Dashboard!$B$2:$B$5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0</xdr:row>
      <xdr:rowOff>0</xdr:rowOff>
    </xdr:from>
    <xdr:ext cx="4029075" cy="2495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f>materials!B2</f>
        <v>2.59416</v>
      </c>
    </row>
    <row r="3">
      <c r="A3" s="1" t="s">
        <v>3</v>
      </c>
      <c r="B3" s="2">
        <f>transport!B2</f>
        <v>0.2236</v>
      </c>
    </row>
    <row r="4">
      <c r="A4" s="1" t="s">
        <v>4</v>
      </c>
      <c r="B4" s="2">
        <f>use!F2</f>
        <v>3.51</v>
      </c>
    </row>
    <row r="5">
      <c r="A5" s="1" t="s">
        <v>5</v>
      </c>
      <c r="B5" s="2">
        <f>eol!B2</f>
        <v>0.2015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IFERROR(__xludf.DUMMYFUNCTION("IMPORTDATA(""https://raw.githubusercontent.com/Matart930/scope3-footwear-calculator/main/outputs/materials_summary.csv"")"),"product_id")</f>
        <v>product_id</v>
      </c>
      <c r="B1" s="2" t="str">
        <f>IFERROR(__xludf.DUMMYFUNCTION("""COMPUTED_VALUE"""),"emissions_with_scrap")</f>
        <v>emissions_with_scrap</v>
      </c>
    </row>
    <row r="2">
      <c r="A2" s="2" t="str">
        <f>IFERROR(__xludf.DUMMYFUNCTION("""COMPUTED_VALUE"""),"HOKA_RUN_1")</f>
        <v>HOKA_RUN_1</v>
      </c>
      <c r="B2" s="2">
        <f>IFERROR(__xludf.DUMMYFUNCTION("""COMPUTED_VALUE"""),2.59416)</f>
        <v>2.59416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IFERROR(__xludf.DUMMYFUNCTION("IMPORTDATA(""https://raw.githubusercontent.com/Matart930/scope3-footwear-calculator/main/outputs/transport_summary.csv"")"),"product_id")</f>
        <v>product_id</v>
      </c>
      <c r="B1" s="2" t="str">
        <f>IFERROR(__xludf.DUMMYFUNCTION("""COMPUTED_VALUE"""),"emissions_kgco2")</f>
        <v>emissions_kgco2</v>
      </c>
    </row>
    <row r="2">
      <c r="A2" s="2" t="str">
        <f>IFERROR(__xludf.DUMMYFUNCTION("""COMPUTED_VALUE"""),"HOKA_RUN_1")</f>
        <v>HOKA_RUN_1</v>
      </c>
      <c r="B2" s="2">
        <f>IFERROR(__xludf.DUMMYFUNCTION("""COMPUTED_VALUE"""),0.223599999999999)</f>
        <v>0.2236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IFERROR(__xludf.DUMMYFUNCTION("IMPORTDATA(""https://raw.githubusercontent.com/Matart930/scope3-footwear-calculator/main/outputs/use_phase_summary.csv"")"),"product_id")</f>
        <v>product_id</v>
      </c>
      <c r="B1" s="2" t="str">
        <f>IFERROR(__xludf.DUMMYFUNCTION("""COMPUTED_VALUE"""),"washes")</f>
        <v>washes</v>
      </c>
      <c r="C1" s="2" t="str">
        <f>IFERROR(__xludf.DUMMYFUNCTION("""COMPUTED_VALUE"""),"kwh_per_wash")</f>
        <v>kwh_per_wash</v>
      </c>
      <c r="D1" s="2" t="str">
        <f>IFERROR(__xludf.DUMMYFUNCTION("""COMPUTED_VALUE"""),"lifetime_years")</f>
        <v>lifetime_years</v>
      </c>
      <c r="E1" s="2" t="str">
        <f>IFERROR(__xludf.DUMMYFUNCTION("""COMPUTED_VALUE"""),"wears_per_year")</f>
        <v>wears_per_year</v>
      </c>
      <c r="F1" s="2" t="str">
        <f>IFERROR(__xludf.DUMMYFUNCTION("""COMPUTED_VALUE"""),"emissions_kgco2")</f>
        <v>emissions_kgco2</v>
      </c>
    </row>
    <row r="2">
      <c r="A2" s="2" t="str">
        <f>IFERROR(__xludf.DUMMYFUNCTION("""COMPUTED_VALUE"""),"HOKA_RUN_1")</f>
        <v>HOKA_RUN_1</v>
      </c>
      <c r="B2" s="2">
        <f>IFERROR(__xludf.DUMMYFUNCTION("""COMPUTED_VALUE"""),15.0)</f>
        <v>15</v>
      </c>
      <c r="C2" s="2">
        <f>IFERROR(__xludf.DUMMYFUNCTION("""COMPUTED_VALUE"""),0.6)</f>
        <v>0.6</v>
      </c>
      <c r="D2" s="2">
        <f>IFERROR(__xludf.DUMMYFUNCTION("""COMPUTED_VALUE"""),3.0)</f>
        <v>3</v>
      </c>
      <c r="E2" s="2">
        <f>IFERROR(__xludf.DUMMYFUNCTION("""COMPUTED_VALUE"""),120.0)</f>
        <v>120</v>
      </c>
      <c r="F2" s="2">
        <f>IFERROR(__xludf.DUMMYFUNCTION("""COMPUTED_VALUE"""),3.51)</f>
        <v>3.51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IFERROR(__xludf.DUMMYFUNCTION("IMPORTDATA(""https://raw.githubusercontent.com/Matart930/scope3-footwear-calculator/main/outputs/eol_summary.csv"")"),"product_id")</f>
        <v>product_id</v>
      </c>
      <c r="B1" s="2" t="str">
        <f>IFERROR(__xludf.DUMMYFUNCTION("""COMPUTED_VALUE"""),"eol_kgco2")</f>
        <v>eol_kgco2</v>
      </c>
    </row>
    <row r="2">
      <c r="A2" s="2" t="str">
        <f>IFERROR(__xludf.DUMMYFUNCTION("""COMPUTED_VALUE"""),"HOKA_RUN_1")</f>
        <v>HOKA_RUN_1</v>
      </c>
      <c r="B2" s="2">
        <f>IFERROR(__xludf.DUMMYFUNCTION("""COMPUTED_VALUE"""),0.2015)</f>
        <v>0.2015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IFERROR(__xludf.DUMMYFUNCTION("IMPORTDATA(""https://raw.githubusercontent.com/Matart930/scope3-footwear-calculator/main/outputs/final_footprint.csv"")"),"product_id")</f>
        <v>product_id</v>
      </c>
      <c r="B1" s="2" t="str">
        <f>IFERROR(__xludf.DUMMYFUNCTION("""COMPUTED_VALUE"""),"materials")</f>
        <v>materials</v>
      </c>
      <c r="C1" s="2" t="str">
        <f>IFERROR(__xludf.DUMMYFUNCTION("""COMPUTED_VALUE"""),"transport")</f>
        <v>transport</v>
      </c>
      <c r="D1" s="2" t="str">
        <f>IFERROR(__xludf.DUMMYFUNCTION("""COMPUTED_VALUE"""),"use")</f>
        <v>use</v>
      </c>
      <c r="E1" s="2" t="str">
        <f>IFERROR(__xludf.DUMMYFUNCTION("""COMPUTED_VALUE"""),"eol")</f>
        <v>eol</v>
      </c>
      <c r="F1" s="2" t="str">
        <f>IFERROR(__xludf.DUMMYFUNCTION("""COMPUTED_VALUE"""),"total_per_pair")</f>
        <v>total_per_pair</v>
      </c>
      <c r="G1" s="2" t="str">
        <f>IFERROR(__xludf.DUMMYFUNCTION("""COMPUTED_VALUE"""),"year")</f>
        <v>year</v>
      </c>
      <c r="H1" s="2" t="str">
        <f>IFERROR(__xludf.DUMMYFUNCTION("""COMPUTED_VALUE"""),"pairs")</f>
        <v>pairs</v>
      </c>
      <c r="I1" s="2" t="str">
        <f>IFERROR(__xludf.DUMMYFUNCTION("""COMPUTED_VALUE"""),"total_company_kgco2")</f>
        <v>total_company_kgco2</v>
      </c>
    </row>
    <row r="2">
      <c r="A2" s="2" t="str">
        <f>IFERROR(__xludf.DUMMYFUNCTION("""COMPUTED_VALUE"""),"HOKA_RUN_1")</f>
        <v>HOKA_RUN_1</v>
      </c>
      <c r="B2" s="2">
        <f>IFERROR(__xludf.DUMMYFUNCTION("""COMPUTED_VALUE"""),2.59416)</f>
        <v>2.59416</v>
      </c>
      <c r="C2" s="2">
        <f>IFERROR(__xludf.DUMMYFUNCTION("""COMPUTED_VALUE"""),0.223599999999999)</f>
        <v>0.2236</v>
      </c>
      <c r="D2" s="2">
        <f>IFERROR(__xludf.DUMMYFUNCTION("""COMPUTED_VALUE"""),3.51)</f>
        <v>3.51</v>
      </c>
      <c r="E2" s="2">
        <f>IFERROR(__xludf.DUMMYFUNCTION("""COMPUTED_VALUE"""),0.2015)</f>
        <v>0.2015</v>
      </c>
      <c r="F2" s="2">
        <f>IFERROR(__xludf.DUMMYFUNCTION("""COMPUTED_VALUE"""),6.52926)</f>
        <v>6.52926</v>
      </c>
      <c r="G2" s="2">
        <f>IFERROR(__xludf.DUMMYFUNCTION("""COMPUTED_VALUE"""),2024.0)</f>
        <v>2024</v>
      </c>
      <c r="H2" s="2">
        <f>IFERROR(__xludf.DUMMYFUNCTION("""COMPUTED_VALUE"""),1200000.0)</f>
        <v>1200000</v>
      </c>
      <c r="I2" s="2">
        <f>IFERROR(__xludf.DUMMYFUNCTION("""COMPUTED_VALUE"""),7835112.0)</f>
        <v>7835112</v>
      </c>
    </row>
  </sheetData>
  <drawing r:id="rId1"/>
</worksheet>
</file>